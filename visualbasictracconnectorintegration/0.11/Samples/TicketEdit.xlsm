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activeTab="2"/>
  </bookViews>
  <sheets>
    <sheet name="Setting" sheetId="1" r:id="rId1"/>
    <sheet name="Report" sheetId="5" r:id="rId2"/>
    <sheet name="Test1" sheetId="18" r:id="rId3"/>
    <sheet name="Test2" sheetId="19" r:id="rId4"/>
    <sheet name="BD_data" sheetId="20" r:id="rId5"/>
    <sheet name="Burndown" sheetId="21" r:id="rId6"/>
  </sheets>
  <functionGroups/>
  <calcPr calcId="125725"/>
</workbook>
</file>

<file path=xl/calcChain.xml><?xml version="1.0" encoding="utf-8"?>
<calcChain xmlns="http://schemas.openxmlformats.org/spreadsheetml/2006/main">
  <c r="G41" i="20"/>
  <c r="C41"/>
  <c r="B41" s="1"/>
  <c r="A41"/>
  <c r="F5" i="21"/>
  <c r="C5"/>
  <c r="D5"/>
  <c r="D4"/>
  <c r="D3"/>
</calcChain>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 ref="T1" authorId="0">
      <text>
        <r>
          <rPr>
            <sz val="9"/>
            <color indexed="81"/>
            <rFont val="ＭＳ Ｐゴシック"/>
            <family val="3"/>
            <charset val="128"/>
          </rPr>
          <t>baseline_cost</t>
        </r>
      </text>
    </comment>
    <comment ref="U1" authorId="0">
      <text>
        <r>
          <rPr>
            <sz val="9"/>
            <color indexed="81"/>
            <rFont val="ＭＳ Ｐゴシック"/>
            <family val="3"/>
            <charset val="128"/>
          </rPr>
          <t>baseline_start</t>
        </r>
      </text>
    </comment>
    <comment ref="V1" authorId="0">
      <text>
        <r>
          <rPr>
            <sz val="9"/>
            <color indexed="81"/>
            <rFont val="ＭＳ Ｐゴシック"/>
            <family val="3"/>
            <charset val="128"/>
          </rPr>
          <t>baseline_finish</t>
        </r>
      </text>
    </comment>
    <comment ref="W1" authorId="0">
      <text>
        <r>
          <rPr>
            <sz val="9"/>
            <color indexed="81"/>
            <rFont val="ＭＳ Ｐゴシック"/>
            <family val="3"/>
            <charset val="128"/>
          </rPr>
          <t>hours</t>
        </r>
      </text>
    </comment>
    <comment ref="X1" authorId="0">
      <text>
        <r>
          <rPr>
            <sz val="9"/>
            <color indexed="81"/>
            <rFont val="ＭＳ Ｐゴシック"/>
            <family val="3"/>
            <charset val="128"/>
          </rPr>
          <t>totalhours</t>
        </r>
      </text>
    </comment>
    <comment ref="Y1" authorId="0">
      <text>
        <r>
          <rPr>
            <sz val="9"/>
            <color indexed="81"/>
            <rFont val="ＭＳ Ｐゴシック"/>
            <family val="3"/>
            <charset val="128"/>
          </rPr>
          <t>billable</t>
        </r>
      </text>
    </comment>
    <comment ref="Z1" authorId="0">
      <text>
        <r>
          <rPr>
            <sz val="9"/>
            <color indexed="81"/>
            <rFont val="ＭＳ Ｐゴシック"/>
            <family val="3"/>
            <charset val="128"/>
          </rPr>
          <t>estimatedhours</t>
        </r>
      </text>
    </comment>
  </commentList>
</comments>
</file>

<file path=xl/comments2.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<sst xmlns="http://schemas.openxmlformats.org/spreadsheetml/2006/main" count="195" uniqueCount="121">
  <si>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</si>
  <si>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</si>
  <si>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</si>
  <si>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</si>
  <si>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</si>
  <si>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</si>
  <si>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</si>
  <si>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</si>
  <si>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</si>
  <si>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</si>
  <si>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</si>
  <si>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</si>
  <si>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</si>
  <si>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</si>
  <si>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</si>
  <si>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</si>
  <si>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</si>
  <si>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</si>
  <si>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</si>
  <si>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</si>
  <si>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</si>
  <si>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</si>
  <si>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</si>
  <si>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</si>
  <si>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</si>
  <si>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</si>
  <si>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</si>
  <si>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</si>
  <si>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</si>
  <si>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</si>
  <si>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</si>
  <si>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</si>
  <si>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</si>
  <si>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</si>
  <si>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</si>
  <si>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</si>
  <si>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</si>
  <si>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</si>
  <si>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</si>
  <si>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</si>
  <si>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</si>
  <si>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</si>
  <si>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</si>
  <si>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</si>
  <si>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</si>
  <si>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</si>
  <si>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</si>
  <si>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2009/05/29</t>
    <phoneticPr fontId="1"/>
  </si>
  <si>
    <t>create date</t>
    <phoneticPr fontId="1"/>
  </si>
  <si>
    <t>start</t>
    <phoneticPr fontId="1"/>
  </si>
  <si>
    <t>end</t>
    <phoneticPr fontId="1"/>
  </si>
  <si>
    <t>VBA Modules</t>
    <phoneticPr fontId="1"/>
  </si>
  <si>
    <t>Report</t>
    <phoneticPr fontId="1"/>
  </si>
  <si>
    <t>1. 期間内にクローズ済みのチケット</t>
  </si>
  <si>
    <t>2. 作業中のチケット</t>
  </si>
  <si>
    <t>3. 開始予定のチケット</t>
  </si>
  <si>
    <t>test1-1</t>
  </si>
  <si>
    <t>機能追加</t>
  </si>
  <si>
    <t>test4</t>
  </si>
  <si>
    <t>Test2:#1(FS), Test2:#2(FF)</t>
  </si>
  <si>
    <t>test5</t>
  </si>
  <si>
    <t>Test2:#3</t>
  </si>
  <si>
    <t>開始</t>
  </si>
  <si>
    <t>終了</t>
  </si>
  <si>
    <t>進捗率(%)</t>
  </si>
  <si>
    <t>親チケット</t>
  </si>
  <si>
    <t>先行チケット</t>
  </si>
  <si>
    <t>工数（計画）</t>
  </si>
  <si>
    <t>開始（計画）</t>
  </si>
  <si>
    <t>終了（計画）</t>
  </si>
  <si>
    <t>作業時間(追加)</t>
  </si>
  <si>
    <t>合計作業時間(h)</t>
  </si>
  <si>
    <t>有償?</t>
  </si>
  <si>
    <t>予定工数(h)</t>
  </si>
  <si>
    <t>assigned</t>
  </si>
  <si>
    <t>説明</t>
    <rPh sb="0" eb="2">
      <t>セツメイ</t>
    </rPh>
    <phoneticPr fontId="1"/>
  </si>
  <si>
    <t>Tracのフィールド</t>
  </si>
  <si>
    <t>予定</t>
    <rPh sb="0" eb="2">
      <t>ヨテイ</t>
    </rPh>
    <phoneticPr fontId="1"/>
  </si>
  <si>
    <t>見積もり時間</t>
    <rPh sb="0" eb="2">
      <t>ミツ</t>
    </rPh>
    <rPh sb="4" eb="6">
      <t>ジカン</t>
    </rPh>
    <phoneticPr fontId="1"/>
  </si>
  <si>
    <t>チケットチェンジ</t>
  </si>
  <si>
    <t>計画</t>
    <rPh sb="0" eb="2">
      <t>ケイカク</t>
    </rPh>
    <phoneticPr fontId="1"/>
  </si>
  <si>
    <t>計画見積時間</t>
    <rPh sb="0" eb="2">
      <t>ケイカク</t>
    </rPh>
    <rPh sb="2" eb="4">
      <t>ミツ</t>
    </rPh>
    <rPh sb="4" eb="6">
      <t>ジカン</t>
    </rPh>
    <phoneticPr fontId="1"/>
  </si>
  <si>
    <t>自動</t>
    <rPh sb="0" eb="2">
      <t>ジドウ</t>
    </rPh>
    <phoneticPr fontId="1"/>
  </si>
  <si>
    <t>時間(残)</t>
    <rPh sb="0" eb="2">
      <t>ジカン</t>
    </rPh>
    <rPh sb="3" eb="4">
      <t>ノコ</t>
    </rPh>
    <phoneticPr fontId="1"/>
  </si>
  <si>
    <t>合計</t>
    <rPh sb="0" eb="2">
      <t>ゴウケイ</t>
    </rPh>
    <phoneticPr fontId="1"/>
  </si>
  <si>
    <t>時間</t>
    <rPh sb="0" eb="2">
      <t>ジカン</t>
    </rPh>
    <phoneticPr fontId="1"/>
  </si>
  <si>
    <t>作業時間</t>
    <rPh sb="0" eb="2">
      <t>サギョウ</t>
    </rPh>
    <rPh sb="2" eb="4">
      <t>ジカン</t>
    </rPh>
    <phoneticPr fontId="1"/>
  </si>
  <si>
    <t>計画</t>
    <phoneticPr fontId="1"/>
  </si>
  <si>
    <t>予定</t>
    <phoneticPr fontId="1"/>
  </si>
  <si>
    <t>工数計算用チケット</t>
    <phoneticPr fontId="1"/>
  </si>
  <si>
    <t>基準計画</t>
    <rPh sb="0" eb="2">
      <t>キジュン</t>
    </rPh>
    <rPh sb="2" eb="4">
      <t>ケイカク</t>
    </rPh>
    <phoneticPr fontId="1"/>
  </si>
  <si>
    <t>開始</t>
    <rPh sb="0" eb="2">
      <t>カイシ</t>
    </rPh>
    <phoneticPr fontId="1"/>
  </si>
  <si>
    <t>終了</t>
    <rPh sb="0" eb="2">
      <t>シュウリョウ</t>
    </rPh>
    <phoneticPr fontId="1"/>
  </si>
  <si>
    <t>期間</t>
    <rPh sb="0" eb="2">
      <t>キカン</t>
    </rPh>
    <phoneticPr fontId="1"/>
  </si>
  <si>
    <t>差</t>
    <rPh sb="0" eb="1">
      <t>サ</t>
    </rPh>
    <phoneticPr fontId="1"/>
  </si>
  <si>
    <t xml:space="preserve">
</t>
    <phoneticPr fontId="1"/>
  </si>
  <si>
    <t>2.1. test1-1(2)</t>
  </si>
  <si>
    <t>-</t>
  </si>
  <si>
    <t>報告日：2009/05/29</t>
    <phoneticPr fontId="1"/>
  </si>
  <si>
    <t>報告者：</t>
    <phoneticPr fontId="1"/>
  </si>
  <si>
    <t>2009/10/20</t>
    <phoneticPr fontId="1"/>
  </si>
  <si>
    <t>2009/05/22</t>
    <phoneticPr fontId="1"/>
  </si>
  <si>
    <t>期間：2009/05/22 - 2009/10/20</t>
    <phoneticPr fontId="1"/>
  </si>
  <si>
    <t>1.1. 工数計算用チケット(3)</t>
  </si>
  <si>
    <t>2009/09/17-2009/10/03</t>
  </si>
  <si>
    <t>計画</t>
    <phoneticPr fontId="1"/>
  </si>
  <si>
    <t>予定</t>
    <phoneticPr fontId="1"/>
  </si>
  <si>
    <t>説明</t>
    <phoneticPr fontId="1"/>
  </si>
  <si>
    <t>工数計算用チケット</t>
    <phoneticPr fontId="1"/>
  </si>
  <si>
    <t>見積時間</t>
    <phoneticPr fontId="1"/>
  </si>
  <si>
    <t>基準時間</t>
    <phoneticPr fontId="1"/>
  </si>
  <si>
    <t>残</t>
    <phoneticPr fontId="1"/>
  </si>
  <si>
    <t>合計</t>
    <phoneticPr fontId="1"/>
  </si>
  <si>
    <t>時間</t>
    <phoneticPr fontId="1"/>
  </si>
  <si>
    <t>基準</t>
    <phoneticPr fontId="1"/>
  </si>
  <si>
    <t>工数計算用チケット2</t>
  </si>
  <si>
    <t>チケット作成・更新の確認</t>
  </si>
  <si>
    <t>Test2:#3,  Test1:#4(FS+3d)</t>
  </si>
  <si>
    <t>ループのテスト</t>
  </si>
  <si>
    <t>Test1:#5</t>
  </si>
  <si>
    <t>緊急</t>
  </si>
</sst>
</file>

<file path=xl/styles.xml><?xml version="1.0" encoding="utf-8"?>
<styleSheet xmlns="http://schemas.openxmlformats.org/spreadsheetml/2006/main">
  <numFmts count="3">
    <numFmt numFmtId="176" formatCode="m/d;@"/>
    <numFmt numFmtId="177" formatCode="0&quot;d&quot;"/>
    <numFmt numFmtId="178" formatCode="0&quot;h&quot;"/>
  </numFmts>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6">
    <fill>
      <patternFill patternType="none"/>
    </fill>
    <fill>
      <patternFill patternType="gray125"/>
    </fill>
    <fill>
      <patternFill patternType="solid">
        <fgColor theme="5" tint="0.59996337778862885"/>
        <bgColor indexed="64"/>
      </patternFill>
    </fill>
    <fill>
      <patternFill patternType="solid">
        <fgColor theme="7" tint="0.59996337778862885"/>
        <bgColor indexed="64"/>
      </patternFill>
    </fill>
    <fill>
      <patternFill patternType="solid">
        <fgColor theme="4" tint="0.59996337778862885"/>
        <bgColor indexed="64"/>
      </patternFill>
    </fill>
    <fill>
      <patternFill patternType="solid">
        <fgColor theme="5" tint="0.79995117038483843"/>
        <bgColor indexed="64"/>
      </patternFill>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28">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Alignment="1">
      <alignment vertical="center" wrapText="1"/>
    </xf>
    <xf numFmtId="14" fontId="0" fillId="0" borderId="0" xfId="0" applyNumberFormat="1">
      <alignment vertical="center"/>
    </xf>
    <xf numFmtId="176" fontId="0" fillId="0" borderId="0" xfId="0" applyNumberFormat="1">
      <alignment vertical="center"/>
    </xf>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176" fontId="0" fillId="3" borderId="0" xfId="0" applyNumberFormat="1" applyFill="1">
      <alignment vertical="center"/>
    </xf>
    <xf numFmtId="176" fontId="0" fillId="2" borderId="0" xfId="0" applyNumberFormat="1" applyFill="1">
      <alignment vertical="center"/>
    </xf>
    <xf numFmtId="176" fontId="0" fillId="4" borderId="0" xfId="0" applyNumberFormat="1" applyFill="1">
      <alignment vertical="center"/>
    </xf>
    <xf numFmtId="0" fontId="0" fillId="0" borderId="0" xfId="0" applyFill="1">
      <alignment vertical="center"/>
    </xf>
    <xf numFmtId="14" fontId="0" fillId="0" borderId="0" xfId="0" applyNumberFormat="1" applyFill="1">
      <alignment vertical="center"/>
    </xf>
    <xf numFmtId="0" fontId="0" fillId="5" borderId="0" xfId="0" applyFill="1">
      <alignment vertical="center"/>
    </xf>
    <xf numFmtId="177" fontId="0" fillId="0" borderId="0" xfId="0" applyNumberFormat="1">
      <alignment vertical="center"/>
    </xf>
    <xf numFmtId="178" fontId="0" fillId="0" borderId="0" xfId="0" applyNumberFormat="1">
      <alignment vertical="center"/>
    </xf>
    <xf numFmtId="0" fontId="0" fillId="0" borderId="0" xfId="0" applyAlignment="1">
      <alignment vertical="center" wrapText="1"/>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ja-JP"/>
  <c:chart>
    <c:plotArea>
      <c:layout>
        <c:manualLayout>
          <c:layoutTarget val="inner"/>
          <c:xMode val="edge"/>
          <c:yMode val="edge"/>
          <c:x val="8.4682852143482187E-2"/>
          <c:y val="2.8252405949256338E-2"/>
          <c:w val="0.87217125984251964"/>
          <c:h val="0.84452136191309424"/>
        </c:manualLayout>
      </c:layout>
      <c:scatterChart>
        <c:scatterStyle val="lineMarker"/>
        <c:ser>
          <c:idx val="0"/>
          <c:order val="0"/>
          <c:tx>
            <c:strRef>
              <c:f>BD_data!$B$34</c:f>
              <c:strCache>
                <c:ptCount val="1"/>
                <c:pt idx="0">
                  <c:v>残</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BD_data!$B$35:$B$71</c:f>
              <c:numCache>
                <c:formatCode>General</c:formatCode>
                <c:ptCount val="37"/>
                <c:pt idx="6">
                  <c:v>100</c:v>
                </c:pt>
                <c:pt idx="7">
                  <c:v>92</c:v>
                </c:pt>
                <c:pt idx="8">
                  <c:v>84</c:v>
                </c:pt>
                <c:pt idx="9">
                  <c:v>76</c:v>
                </c:pt>
                <c:pt idx="10">
                  <c:v>68</c:v>
                </c:pt>
                <c:pt idx="11">
                  <c:v>80</c:v>
                </c:pt>
                <c:pt idx="12">
                  <c:v>70</c:v>
                </c:pt>
                <c:pt idx="13">
                  <c:v>70</c:v>
                </c:pt>
                <c:pt idx="14">
                  <c:v>60</c:v>
                </c:pt>
                <c:pt idx="15">
                  <c:v>50</c:v>
                </c:pt>
                <c:pt idx="16">
                  <c:v>40</c:v>
                </c:pt>
                <c:pt idx="17">
                  <c:v>30</c:v>
                </c:pt>
                <c:pt idx="18">
                  <c:v>25</c:v>
                </c:pt>
                <c:pt idx="19">
                  <c:v>20</c:v>
                </c:pt>
                <c:pt idx="20">
                  <c:v>10</c:v>
                </c:pt>
                <c:pt idx="21">
                  <c:v>0</c:v>
                </c:pt>
              </c:numCache>
            </c:numRef>
          </c:yVal>
        </c:ser>
        <c:ser>
          <c:idx val="1"/>
          <c:order val="1"/>
          <c:tx>
            <c:strRef>
              <c:f>BD_data!$C$34</c:f>
              <c:strCache>
                <c:ptCount val="1"/>
                <c:pt idx="0">
                  <c:v>合計</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BD_data!$C$35:$C$71</c:f>
              <c:numCache>
                <c:formatCode>General</c:formatCode>
                <c:ptCount val="37"/>
                <c:pt idx="6">
                  <c:v>100</c:v>
                </c:pt>
                <c:pt idx="7">
                  <c:v>100</c:v>
                </c:pt>
                <c:pt idx="8">
                  <c:v>100</c:v>
                </c:pt>
                <c:pt idx="9">
                  <c:v>100</c:v>
                </c:pt>
                <c:pt idx="10">
                  <c:v>100</c:v>
                </c:pt>
                <c:pt idx="11">
                  <c:v>120</c:v>
                </c:pt>
                <c:pt idx="12">
                  <c:v>120</c:v>
                </c:pt>
                <c:pt idx="13">
                  <c:v>130</c:v>
                </c:pt>
                <c:pt idx="14">
                  <c:v>130</c:v>
                </c:pt>
                <c:pt idx="15">
                  <c:v>130</c:v>
                </c:pt>
                <c:pt idx="16">
                  <c:v>130</c:v>
                </c:pt>
                <c:pt idx="17">
                  <c:v>130</c:v>
                </c:pt>
                <c:pt idx="18">
                  <c:v>135</c:v>
                </c:pt>
                <c:pt idx="19">
                  <c:v>140</c:v>
                </c:pt>
                <c:pt idx="20">
                  <c:v>140</c:v>
                </c:pt>
                <c:pt idx="21">
                  <c:v>140</c:v>
                </c:pt>
              </c:numCache>
            </c:numRef>
          </c:yVal>
        </c:ser>
        <c:ser>
          <c:idx val="2"/>
          <c:order val="2"/>
          <c:tx>
            <c:strRef>
              <c:f>BD_data!$D$34</c:f>
              <c:strCache>
                <c:ptCount val="1"/>
                <c:pt idx="0">
                  <c:v>時間</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BD_data!$D$35:$D$71</c:f>
              <c:numCache>
                <c:formatCode>General</c:formatCode>
                <c:ptCount val="37"/>
                <c:pt idx="6">
                  <c:v>140</c:v>
                </c:pt>
                <c:pt idx="7">
                  <c:v>132</c:v>
                </c:pt>
                <c:pt idx="8">
                  <c:v>124</c:v>
                </c:pt>
                <c:pt idx="9">
                  <c:v>116</c:v>
                </c:pt>
                <c:pt idx="10">
                  <c:v>108</c:v>
                </c:pt>
                <c:pt idx="11">
                  <c:v>100</c:v>
                </c:pt>
                <c:pt idx="12">
                  <c:v>90</c:v>
                </c:pt>
                <c:pt idx="13">
                  <c:v>80</c:v>
                </c:pt>
                <c:pt idx="14">
                  <c:v>70</c:v>
                </c:pt>
                <c:pt idx="15">
                  <c:v>60</c:v>
                </c:pt>
                <c:pt idx="16">
                  <c:v>50</c:v>
                </c:pt>
                <c:pt idx="17">
                  <c:v>40</c:v>
                </c:pt>
                <c:pt idx="18">
                  <c:v>30</c:v>
                </c:pt>
                <c:pt idx="19">
                  <c:v>20</c:v>
                </c:pt>
                <c:pt idx="20">
                  <c:v>10</c:v>
                </c:pt>
                <c:pt idx="21">
                  <c:v>0</c:v>
                </c:pt>
              </c:numCache>
            </c:numRef>
          </c:yVal>
        </c:ser>
        <c:ser>
          <c:idx val="3"/>
          <c:order val="3"/>
          <c:tx>
            <c:strRef>
              <c:f>BD_data!$E$34</c:f>
              <c:strCache>
                <c:ptCount val="1"/>
                <c:pt idx="0">
                  <c:v>計画</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BD_data!$E$35:$E$71</c:f>
              <c:numCache>
                <c:formatCode>General</c:formatCode>
                <c:ptCount val="37"/>
                <c:pt idx="0">
                  <c:v>100</c:v>
                </c:pt>
                <c:pt idx="1">
                  <c:v>0</c:v>
                </c:pt>
              </c:numCache>
            </c:numRef>
          </c:yVal>
        </c:ser>
        <c:ser>
          <c:idx val="4"/>
          <c:order val="4"/>
          <c:tx>
            <c:strRef>
              <c:f>BD_data!$F$34</c:f>
              <c:strCache>
                <c:ptCount val="1"/>
                <c:pt idx="0">
                  <c:v>予定</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BD_data!$F$35:$F$71</c:f>
              <c:numCache>
                <c:formatCode>General</c:formatCode>
                <c:ptCount val="37"/>
                <c:pt idx="2">
                  <c:v>0</c:v>
                </c:pt>
                <c:pt idx="3">
                  <c:v>140</c:v>
                </c:pt>
                <c:pt idx="4">
                  <c:v>0</c:v>
                </c:pt>
                <c:pt idx="5">
                  <c:v>140</c:v>
                </c:pt>
              </c:numCache>
            </c:numRef>
          </c:yVal>
        </c:ser>
        <c:ser>
          <c:idx val="5"/>
          <c:order val="5"/>
          <c:tx>
            <c:strRef>
              <c:f>BD_data!$G$34</c:f>
              <c:strCache>
                <c:ptCount val="1"/>
                <c:pt idx="0">
                  <c:v>基準</c:v>
                </c:pt>
              </c:strCache>
            </c:strRef>
          </c:tx>
          <c:marker>
            <c:symbol val="none"/>
          </c:marker>
          <c:xVal>
            <c:numRef>
              <c:f>BD_data!$A$35:$A$71</c:f>
              <c:numCache>
                <c:formatCode>m/d;@</c:formatCode>
                <c:ptCount val="37"/>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BD_data!$G$35:$G$71</c:f>
              <c:numCache>
                <c:formatCode>General</c:formatCode>
                <c:ptCount val="37"/>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numCache>
            </c:numRef>
          </c:yVal>
        </c:ser>
        <c:axId val="96135808"/>
        <c:axId val="97530240"/>
      </c:scatterChart>
      <c:valAx>
        <c:axId val="96135808"/>
        <c:scaling>
          <c:orientation val="minMax"/>
        </c:scaling>
        <c:axPos val="b"/>
        <c:numFmt formatCode="m/d;@" sourceLinked="1"/>
        <c:tickLblPos val="nextTo"/>
        <c:crossAx val="97530240"/>
        <c:crosses val="autoZero"/>
        <c:crossBetween val="midCat"/>
      </c:valAx>
      <c:valAx>
        <c:axId val="97530240"/>
        <c:scaling>
          <c:orientation val="minMax"/>
        </c:scaling>
        <c:axPos val="l"/>
        <c:majorGridlines/>
        <c:numFmt formatCode="General" sourceLinked="1"/>
        <c:tickLblPos val="nextTo"/>
        <c:crossAx val="96135808"/>
        <c:crosses val="autoZero"/>
        <c:crossBetween val="midCat"/>
      </c:valAx>
    </c:plotArea>
    <c:plotVisOnly val="1"/>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ja-JP"/>
  <c:chart>
    <c:plotArea>
      <c:layout/>
      <c:scatterChart>
        <c:scatterStyle val="lineMarker"/>
        <c:ser>
          <c:idx val="0"/>
          <c:order val="0"/>
          <c:tx>
            <c:strRef>
              <c:f>BD_data!$B$34</c:f>
              <c:strCache>
                <c:ptCount val="1"/>
                <c:pt idx="0">
                  <c:v>残</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BD_data!$B$35:$B$56</c:f>
              <c:numCache>
                <c:formatCode>General</c:formatCode>
                <c:ptCount val="22"/>
                <c:pt idx="6">
                  <c:v>100</c:v>
                </c:pt>
                <c:pt idx="7">
                  <c:v>92</c:v>
                </c:pt>
                <c:pt idx="8">
                  <c:v>84</c:v>
                </c:pt>
                <c:pt idx="9">
                  <c:v>76</c:v>
                </c:pt>
                <c:pt idx="10">
                  <c:v>68</c:v>
                </c:pt>
                <c:pt idx="11">
                  <c:v>80</c:v>
                </c:pt>
                <c:pt idx="12">
                  <c:v>70</c:v>
                </c:pt>
                <c:pt idx="13">
                  <c:v>70</c:v>
                </c:pt>
                <c:pt idx="14">
                  <c:v>60</c:v>
                </c:pt>
                <c:pt idx="15">
                  <c:v>50</c:v>
                </c:pt>
                <c:pt idx="16">
                  <c:v>40</c:v>
                </c:pt>
                <c:pt idx="17">
                  <c:v>30</c:v>
                </c:pt>
                <c:pt idx="18">
                  <c:v>25</c:v>
                </c:pt>
                <c:pt idx="19">
                  <c:v>20</c:v>
                </c:pt>
                <c:pt idx="20">
                  <c:v>10</c:v>
                </c:pt>
                <c:pt idx="21">
                  <c:v>0</c:v>
                </c:pt>
              </c:numCache>
            </c:numRef>
          </c:yVal>
        </c:ser>
        <c:ser>
          <c:idx val="1"/>
          <c:order val="1"/>
          <c:tx>
            <c:strRef>
              <c:f>BD_data!$C$34</c:f>
              <c:strCache>
                <c:ptCount val="1"/>
                <c:pt idx="0">
                  <c:v>合計</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BD_data!$C$35:$C$56</c:f>
              <c:numCache>
                <c:formatCode>General</c:formatCode>
                <c:ptCount val="22"/>
                <c:pt idx="6">
                  <c:v>100</c:v>
                </c:pt>
                <c:pt idx="7">
                  <c:v>100</c:v>
                </c:pt>
                <c:pt idx="8">
                  <c:v>100</c:v>
                </c:pt>
                <c:pt idx="9">
                  <c:v>100</c:v>
                </c:pt>
                <c:pt idx="10">
                  <c:v>100</c:v>
                </c:pt>
                <c:pt idx="11">
                  <c:v>120</c:v>
                </c:pt>
                <c:pt idx="12">
                  <c:v>120</c:v>
                </c:pt>
                <c:pt idx="13">
                  <c:v>130</c:v>
                </c:pt>
                <c:pt idx="14">
                  <c:v>130</c:v>
                </c:pt>
                <c:pt idx="15">
                  <c:v>130</c:v>
                </c:pt>
                <c:pt idx="16">
                  <c:v>130</c:v>
                </c:pt>
                <c:pt idx="17">
                  <c:v>130</c:v>
                </c:pt>
                <c:pt idx="18">
                  <c:v>135</c:v>
                </c:pt>
                <c:pt idx="19">
                  <c:v>140</c:v>
                </c:pt>
                <c:pt idx="20">
                  <c:v>140</c:v>
                </c:pt>
                <c:pt idx="21">
                  <c:v>140</c:v>
                </c:pt>
              </c:numCache>
            </c:numRef>
          </c:yVal>
        </c:ser>
        <c:ser>
          <c:idx val="2"/>
          <c:order val="2"/>
          <c:tx>
            <c:strRef>
              <c:f>BD_data!$D$34</c:f>
              <c:strCache>
                <c:ptCount val="1"/>
                <c:pt idx="0">
                  <c:v>時間</c:v>
                </c:pt>
              </c:strCache>
            </c:strRef>
          </c:tx>
          <c:spPr>
            <a:ln w="3175"/>
          </c:spP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BD_data!$D$35:$D$56</c:f>
              <c:numCache>
                <c:formatCode>General</c:formatCode>
                <c:ptCount val="22"/>
                <c:pt idx="6">
                  <c:v>140</c:v>
                </c:pt>
                <c:pt idx="7">
                  <c:v>132</c:v>
                </c:pt>
                <c:pt idx="8">
                  <c:v>124</c:v>
                </c:pt>
                <c:pt idx="9">
                  <c:v>116</c:v>
                </c:pt>
                <c:pt idx="10">
                  <c:v>108</c:v>
                </c:pt>
                <c:pt idx="11">
                  <c:v>100</c:v>
                </c:pt>
                <c:pt idx="12">
                  <c:v>90</c:v>
                </c:pt>
                <c:pt idx="13">
                  <c:v>80</c:v>
                </c:pt>
                <c:pt idx="14">
                  <c:v>70</c:v>
                </c:pt>
                <c:pt idx="15">
                  <c:v>60</c:v>
                </c:pt>
                <c:pt idx="16">
                  <c:v>50</c:v>
                </c:pt>
                <c:pt idx="17">
                  <c:v>40</c:v>
                </c:pt>
                <c:pt idx="18">
                  <c:v>30</c:v>
                </c:pt>
                <c:pt idx="19">
                  <c:v>20</c:v>
                </c:pt>
                <c:pt idx="20">
                  <c:v>10</c:v>
                </c:pt>
                <c:pt idx="21">
                  <c:v>0</c:v>
                </c:pt>
              </c:numCache>
            </c:numRef>
          </c:yVal>
        </c:ser>
        <c:ser>
          <c:idx val="3"/>
          <c:order val="3"/>
          <c:tx>
            <c:strRef>
              <c:f>BD_data!$E$34</c:f>
              <c:strCache>
                <c:ptCount val="1"/>
                <c:pt idx="0">
                  <c:v>計画</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BD_data!$E$35:$E$56</c:f>
              <c:numCache>
                <c:formatCode>General</c:formatCode>
                <c:ptCount val="22"/>
                <c:pt idx="0">
                  <c:v>100</c:v>
                </c:pt>
                <c:pt idx="1">
                  <c:v>0</c:v>
                </c:pt>
              </c:numCache>
            </c:numRef>
          </c:yVal>
        </c:ser>
        <c:ser>
          <c:idx val="4"/>
          <c:order val="4"/>
          <c:tx>
            <c:strRef>
              <c:f>BD_data!$F$34</c:f>
              <c:strCache>
                <c:ptCount val="1"/>
                <c:pt idx="0">
                  <c:v>予定</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BD_data!$F$35:$F$56</c:f>
              <c:numCache>
                <c:formatCode>General</c:formatCode>
                <c:ptCount val="22"/>
                <c:pt idx="2">
                  <c:v>0</c:v>
                </c:pt>
                <c:pt idx="3">
                  <c:v>140</c:v>
                </c:pt>
                <c:pt idx="4">
                  <c:v>0</c:v>
                </c:pt>
                <c:pt idx="5">
                  <c:v>140</c:v>
                </c:pt>
              </c:numCache>
            </c:numRef>
          </c:yVal>
        </c:ser>
        <c:ser>
          <c:idx val="5"/>
          <c:order val="5"/>
          <c:tx>
            <c:strRef>
              <c:f>BD_data!$G$34</c:f>
              <c:strCache>
                <c:ptCount val="1"/>
                <c:pt idx="0">
                  <c:v>基準</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BD_data!$G$35:$G$56</c:f>
              <c:numCache>
                <c:formatCode>General</c:formatCode>
                <c:ptCount val="22"/>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numCache>
            </c:numRef>
          </c:yVal>
        </c:ser>
        <c:axId val="96321920"/>
        <c:axId val="96323456"/>
      </c:scatterChart>
      <c:valAx>
        <c:axId val="96321920"/>
        <c:scaling>
          <c:orientation val="minMax"/>
        </c:scaling>
        <c:axPos val="b"/>
        <c:numFmt formatCode="m/d;@" sourceLinked="1"/>
        <c:tickLblPos val="nextTo"/>
        <c:crossAx val="96323456"/>
        <c:crosses val="autoZero"/>
        <c:crossBetween val="midCat"/>
      </c:valAx>
      <c:valAx>
        <c:axId val="96323456"/>
        <c:scaling>
          <c:orientation val="minMax"/>
        </c:scaling>
        <c:axPos val="l"/>
        <c:majorGridlines/>
        <c:numFmt formatCode="General" sourceLinked="1"/>
        <c:tickLblPos val="nextTo"/>
        <c:crossAx val="96321920"/>
        <c:crosses val="autoZero"/>
        <c:crossBetween val="midCat"/>
      </c:valAx>
    </c:plotArea>
    <c:legend>
      <c:legendPos val="r"/>
      <c:layout/>
    </c:legend>
    <c:plotVisOnly val="1"/>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ja-JP"/>
  <c:chart>
    <c:plotArea>
      <c:layout/>
      <c:scatterChart>
        <c:scatterStyle val="lineMarker"/>
        <c:ser>
          <c:idx val="0"/>
          <c:order val="0"/>
          <c:tx>
            <c:strRef>
              <c:f>BD_data!$B$34</c:f>
              <c:strCache>
                <c:ptCount val="1"/>
                <c:pt idx="0">
                  <c:v>残</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BD_data!$B$35:$B$56</c:f>
              <c:numCache>
                <c:formatCode>General</c:formatCode>
                <c:ptCount val="22"/>
                <c:pt idx="6">
                  <c:v>100</c:v>
                </c:pt>
                <c:pt idx="7">
                  <c:v>92</c:v>
                </c:pt>
                <c:pt idx="8">
                  <c:v>84</c:v>
                </c:pt>
                <c:pt idx="9">
                  <c:v>76</c:v>
                </c:pt>
                <c:pt idx="10">
                  <c:v>68</c:v>
                </c:pt>
                <c:pt idx="11">
                  <c:v>80</c:v>
                </c:pt>
                <c:pt idx="12">
                  <c:v>70</c:v>
                </c:pt>
                <c:pt idx="13">
                  <c:v>70</c:v>
                </c:pt>
                <c:pt idx="14">
                  <c:v>60</c:v>
                </c:pt>
                <c:pt idx="15">
                  <c:v>50</c:v>
                </c:pt>
                <c:pt idx="16">
                  <c:v>40</c:v>
                </c:pt>
                <c:pt idx="17">
                  <c:v>30</c:v>
                </c:pt>
                <c:pt idx="18">
                  <c:v>25</c:v>
                </c:pt>
                <c:pt idx="19">
                  <c:v>20</c:v>
                </c:pt>
                <c:pt idx="20">
                  <c:v>10</c:v>
                </c:pt>
                <c:pt idx="21">
                  <c:v>0</c:v>
                </c:pt>
              </c:numCache>
            </c:numRef>
          </c:yVal>
        </c:ser>
        <c:ser>
          <c:idx val="1"/>
          <c:order val="1"/>
          <c:tx>
            <c:strRef>
              <c:f>BD_data!$C$34</c:f>
              <c:strCache>
                <c:ptCount val="1"/>
                <c:pt idx="0">
                  <c:v>合計</c:v>
                </c:pt>
              </c:strCache>
            </c:strRef>
          </c:tx>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BD_data!$C$35:$C$56</c:f>
              <c:numCache>
                <c:formatCode>General</c:formatCode>
                <c:ptCount val="22"/>
                <c:pt idx="6">
                  <c:v>100</c:v>
                </c:pt>
                <c:pt idx="7">
                  <c:v>100</c:v>
                </c:pt>
                <c:pt idx="8">
                  <c:v>100</c:v>
                </c:pt>
                <c:pt idx="9">
                  <c:v>100</c:v>
                </c:pt>
                <c:pt idx="10">
                  <c:v>100</c:v>
                </c:pt>
                <c:pt idx="11">
                  <c:v>120</c:v>
                </c:pt>
                <c:pt idx="12">
                  <c:v>120</c:v>
                </c:pt>
                <c:pt idx="13">
                  <c:v>130</c:v>
                </c:pt>
                <c:pt idx="14">
                  <c:v>130</c:v>
                </c:pt>
                <c:pt idx="15">
                  <c:v>130</c:v>
                </c:pt>
                <c:pt idx="16">
                  <c:v>130</c:v>
                </c:pt>
                <c:pt idx="17">
                  <c:v>130</c:v>
                </c:pt>
                <c:pt idx="18">
                  <c:v>135</c:v>
                </c:pt>
                <c:pt idx="19">
                  <c:v>140</c:v>
                </c:pt>
                <c:pt idx="20">
                  <c:v>140</c:v>
                </c:pt>
                <c:pt idx="21">
                  <c:v>140</c:v>
                </c:pt>
              </c:numCache>
            </c:numRef>
          </c:yVal>
        </c:ser>
        <c:ser>
          <c:idx val="2"/>
          <c:order val="2"/>
          <c:tx>
            <c:strRef>
              <c:f>BD_data!$D$34</c:f>
              <c:strCache>
                <c:ptCount val="1"/>
                <c:pt idx="0">
                  <c:v>時間</c:v>
                </c:pt>
              </c:strCache>
            </c:strRef>
          </c:tx>
          <c:spPr>
            <a:ln w="3175"/>
          </c:spP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BD_data!$D$35:$D$56</c:f>
              <c:numCache>
                <c:formatCode>General</c:formatCode>
                <c:ptCount val="22"/>
                <c:pt idx="6">
                  <c:v>140</c:v>
                </c:pt>
                <c:pt idx="7">
                  <c:v>132</c:v>
                </c:pt>
                <c:pt idx="8">
                  <c:v>124</c:v>
                </c:pt>
                <c:pt idx="9">
                  <c:v>116</c:v>
                </c:pt>
                <c:pt idx="10">
                  <c:v>108</c:v>
                </c:pt>
                <c:pt idx="11">
                  <c:v>100</c:v>
                </c:pt>
                <c:pt idx="12">
                  <c:v>90</c:v>
                </c:pt>
                <c:pt idx="13">
                  <c:v>80</c:v>
                </c:pt>
                <c:pt idx="14">
                  <c:v>70</c:v>
                </c:pt>
                <c:pt idx="15">
                  <c:v>60</c:v>
                </c:pt>
                <c:pt idx="16">
                  <c:v>50</c:v>
                </c:pt>
                <c:pt idx="17">
                  <c:v>40</c:v>
                </c:pt>
                <c:pt idx="18">
                  <c:v>30</c:v>
                </c:pt>
                <c:pt idx="19">
                  <c:v>20</c:v>
                </c:pt>
                <c:pt idx="20">
                  <c:v>10</c:v>
                </c:pt>
                <c:pt idx="21">
                  <c:v>0</c:v>
                </c:pt>
              </c:numCache>
            </c:numRef>
          </c:yVal>
        </c:ser>
        <c:ser>
          <c:idx val="3"/>
          <c:order val="3"/>
          <c:tx>
            <c:strRef>
              <c:f>BD_data!$E$34</c:f>
              <c:strCache>
                <c:ptCount val="1"/>
                <c:pt idx="0">
                  <c:v>計画</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BD_data!$E$35:$E$56</c:f>
              <c:numCache>
                <c:formatCode>General</c:formatCode>
                <c:ptCount val="22"/>
                <c:pt idx="0">
                  <c:v>100</c:v>
                </c:pt>
                <c:pt idx="1">
                  <c:v>0</c:v>
                </c:pt>
              </c:numCache>
            </c:numRef>
          </c:yVal>
        </c:ser>
        <c:ser>
          <c:idx val="4"/>
          <c:order val="4"/>
          <c:tx>
            <c:strRef>
              <c:f>BD_data!$F$34</c:f>
              <c:strCache>
                <c:ptCount val="1"/>
                <c:pt idx="0">
                  <c:v>予定</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BD_data!$F$35:$F$56</c:f>
              <c:numCache>
                <c:formatCode>General</c:formatCode>
                <c:ptCount val="22"/>
                <c:pt idx="2">
                  <c:v>0</c:v>
                </c:pt>
                <c:pt idx="3">
                  <c:v>140</c:v>
                </c:pt>
                <c:pt idx="4">
                  <c:v>0</c:v>
                </c:pt>
                <c:pt idx="5">
                  <c:v>140</c:v>
                </c:pt>
              </c:numCache>
            </c:numRef>
          </c:yVal>
        </c:ser>
        <c:ser>
          <c:idx val="5"/>
          <c:order val="5"/>
          <c:tx>
            <c:strRef>
              <c:f>BD_data!$G$34</c:f>
              <c:strCache>
                <c:ptCount val="1"/>
                <c:pt idx="0">
                  <c:v>基準</c:v>
                </c:pt>
              </c:strCache>
            </c:strRef>
          </c:tx>
          <c:spPr>
            <a:ln w="3175"/>
          </c:spPr>
          <c:marker>
            <c:symbol val="none"/>
          </c:marker>
          <c:xVal>
            <c:numRef>
              <c:f>BD_data!$A$35:$A$56</c:f>
              <c:numCache>
                <c:formatCode>m/d;@</c:formatCode>
                <c:ptCount val="22"/>
                <c:pt idx="0">
                  <c:v>40071</c:v>
                </c:pt>
                <c:pt idx="1">
                  <c:v>40084</c:v>
                </c:pt>
                <c:pt idx="2">
                  <c:v>40073</c:v>
                </c:pt>
                <c:pt idx="3">
                  <c:v>40073</c:v>
                </c:pt>
                <c:pt idx="4">
                  <c:v>40089</c:v>
                </c:pt>
                <c:pt idx="5">
                  <c:v>40089</c:v>
                </c:pt>
                <c:pt idx="6">
                  <c:v>40076.125</c:v>
                </c:pt>
                <c:pt idx="7">
                  <c:v>40077.125</c:v>
                </c:pt>
                <c:pt idx="8">
                  <c:v>40078.125</c:v>
                </c:pt>
                <c:pt idx="9">
                  <c:v>40079.125</c:v>
                </c:pt>
                <c:pt idx="10">
                  <c:v>40080.125</c:v>
                </c:pt>
                <c:pt idx="11">
                  <c:v>40081.125011574077</c:v>
                </c:pt>
                <c:pt idx="12">
                  <c:v>40082.125</c:v>
                </c:pt>
                <c:pt idx="13">
                  <c:v>40083.125</c:v>
                </c:pt>
                <c:pt idx="14">
                  <c:v>40084.125011574077</c:v>
                </c:pt>
                <c:pt idx="15">
                  <c:v>40085.125</c:v>
                </c:pt>
                <c:pt idx="16">
                  <c:v>40086.125</c:v>
                </c:pt>
                <c:pt idx="17">
                  <c:v>40087.125</c:v>
                </c:pt>
                <c:pt idx="18">
                  <c:v>40088.125</c:v>
                </c:pt>
                <c:pt idx="19">
                  <c:v>40089.125</c:v>
                </c:pt>
                <c:pt idx="20">
                  <c:v>40090.125</c:v>
                </c:pt>
                <c:pt idx="21">
                  <c:v>40091.392881944441</c:v>
                </c:pt>
              </c:numCache>
            </c:numRef>
          </c:xVal>
          <c:yVal>
            <c:numRef>
              <c:f>BD_data!$G$35:$G$56</c:f>
              <c:numCache>
                <c:formatCode>General</c:formatCode>
                <c:ptCount val="22"/>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numCache>
            </c:numRef>
          </c:yVal>
        </c:ser>
        <c:axId val="96826496"/>
        <c:axId val="96828032"/>
      </c:scatterChart>
      <c:valAx>
        <c:axId val="96826496"/>
        <c:scaling>
          <c:orientation val="minMax"/>
        </c:scaling>
        <c:axPos val="b"/>
        <c:numFmt formatCode="m/d;@" sourceLinked="1"/>
        <c:tickLblPos val="nextTo"/>
        <c:crossAx val="96828032"/>
        <c:crosses val="autoZero"/>
        <c:crossBetween val="midCat"/>
      </c:valAx>
      <c:valAx>
        <c:axId val="96828032"/>
        <c:scaling>
          <c:orientation val="minMax"/>
        </c:scaling>
        <c:axPos val="l"/>
        <c:majorGridlines/>
        <c:numFmt formatCode="General" sourceLinked="1"/>
        <c:tickLblPos val="nextTo"/>
        <c:crossAx val="96826496"/>
        <c:crosses val="autoZero"/>
        <c:crossBetween val="midCat"/>
      </c:valAx>
    </c:plotArea>
    <c:legend>
      <c:legendPos val="r"/>
      <c:layout/>
    </c:legend>
    <c:plotVisOnly val="1"/>
  </c:chart>
  <c:printSettings>
    <c:headerFooter/>
    <c:pageMargins b="0.75000000000000089" l="0.70000000000000062" r="0.70000000000000062" t="0.75000000000000089"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180975</xdr:colOff>
      <xdr:row>33</xdr:row>
      <xdr:rowOff>152400</xdr:rowOff>
    </xdr:from>
    <xdr:to>
      <xdr:col>13</xdr:col>
      <xdr:colOff>314325</xdr:colOff>
      <xdr:row>42</xdr:row>
      <xdr:rowOff>123825</xdr:rowOff>
    </xdr:to>
    <xdr:graphicFrame macro="">
      <xdr:nvGraphicFramePr>
        <xdr:cNvPr id="4" name="グラフ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76200</xdr:rowOff>
    </xdr:from>
    <xdr:to>
      <xdr:col>10</xdr:col>
      <xdr:colOff>609600</xdr:colOff>
      <xdr:row>21</xdr:row>
      <xdr:rowOff>76200</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23</xdr:row>
      <xdr:rowOff>133350</xdr:rowOff>
    </xdr:from>
    <xdr:to>
      <xdr:col>10</xdr:col>
      <xdr:colOff>657225</xdr:colOff>
      <xdr:row>39</xdr:row>
      <xdr:rowOff>133350</xdr:rowOff>
    </xdr:to>
    <xdr:graphicFrame macro="">
      <xdr:nvGraphicFramePr>
        <xdr:cNvPr id="4" name="グラフ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200025</xdr:colOff>
      <xdr:row>26</xdr:row>
      <xdr:rowOff>76200</xdr:rowOff>
    </xdr:from>
    <xdr:to>
      <xdr:col>9</xdr:col>
      <xdr:colOff>352425</xdr:colOff>
      <xdr:row>27</xdr:row>
      <xdr:rowOff>152400</xdr:rowOff>
    </xdr:to>
    <xdr:sp macro="" textlink="">
      <xdr:nvSpPr>
        <xdr:cNvPr id="5" name="テキスト ボックス 4"/>
        <xdr:cNvSpPr txBox="1"/>
      </xdr:nvSpPr>
      <xdr:spPr>
        <a:xfrm>
          <a:off x="4714875" y="4533900"/>
          <a:ext cx="838200" cy="2476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ja-JP" altLang="en-US" sz="1100"/>
            <a:t>工数</a:t>
          </a:r>
        </a:p>
      </xdr:txBody>
    </xdr:sp>
    <xdr:clientData/>
  </xdr:twoCellAnchor>
  <xdr:twoCellAnchor>
    <xdr:from>
      <xdr:col>5</xdr:col>
      <xdr:colOff>457200</xdr:colOff>
      <xdr:row>38</xdr:row>
      <xdr:rowOff>76200</xdr:rowOff>
    </xdr:from>
    <xdr:to>
      <xdr:col>6</xdr:col>
      <xdr:colOff>400050</xdr:colOff>
      <xdr:row>39</xdr:row>
      <xdr:rowOff>152400</xdr:rowOff>
    </xdr:to>
    <xdr:sp macro="" textlink="">
      <xdr:nvSpPr>
        <xdr:cNvPr id="6" name="テキスト ボックス 5"/>
        <xdr:cNvSpPr txBox="1"/>
      </xdr:nvSpPr>
      <xdr:spPr>
        <a:xfrm>
          <a:off x="3286125" y="6591300"/>
          <a:ext cx="476250" cy="2476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ja-JP" altLang="en-US" sz="1100"/>
            <a:t>計画</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0.23021</cdr:x>
      <cdr:y>0.86458</cdr:y>
    </cdr:from>
    <cdr:to>
      <cdr:x>0.56452</cdr:x>
      <cdr:y>0.875</cdr:y>
    </cdr:to>
    <cdr:sp macro="" textlink="">
      <cdr:nvSpPr>
        <cdr:cNvPr id="3" name="直線コネクタ 2"/>
        <cdr:cNvSpPr/>
      </cdr:nvSpPr>
      <cdr:spPr>
        <a:xfrm xmlns:a="http://schemas.openxmlformats.org/drawingml/2006/main" flipV="1">
          <a:off x="1495425" y="2371725"/>
          <a:ext cx="2171700" cy="28575"/>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0.27273</cdr:x>
      <cdr:y>0.89583</cdr:y>
    </cdr:from>
    <cdr:to>
      <cdr:x>0.69355</cdr:x>
      <cdr:y>0.90972</cdr:y>
    </cdr:to>
    <cdr:sp macro="" textlink="">
      <cdr:nvSpPr>
        <cdr:cNvPr id="4" name="直線コネクタ 3"/>
        <cdr:cNvSpPr/>
      </cdr:nvSpPr>
      <cdr:spPr>
        <a:xfrm xmlns:a="http://schemas.openxmlformats.org/drawingml/2006/main" flipV="1">
          <a:off x="1771649" y="2457450"/>
          <a:ext cx="2733675" cy="38100"/>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0.70088</cdr:x>
      <cdr:y>0.13542</cdr:y>
    </cdr:from>
    <cdr:to>
      <cdr:x>0.70381</cdr:x>
      <cdr:y>0.83333</cdr:y>
    </cdr:to>
    <cdr:sp macro="" textlink="">
      <cdr:nvSpPr>
        <cdr:cNvPr id="5" name="直線コネクタ 4"/>
        <cdr:cNvSpPr/>
      </cdr:nvSpPr>
      <cdr:spPr>
        <a:xfrm xmlns:a="http://schemas.openxmlformats.org/drawingml/2006/main" flipH="1" flipV="1">
          <a:off x="4552950" y="371475"/>
          <a:ext cx="19050" cy="1914525"/>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0.36657</cdr:x>
      <cdr:y>0.36111</cdr:y>
    </cdr:from>
    <cdr:to>
      <cdr:x>0.78006</cdr:x>
      <cdr:y>0.86111</cdr:y>
    </cdr:to>
    <cdr:sp macro="" textlink="">
      <cdr:nvSpPr>
        <cdr:cNvPr id="6" name="直線コネクタ 5"/>
        <cdr:cNvSpPr/>
      </cdr:nvSpPr>
      <cdr:spPr>
        <a:xfrm xmlns:a="http://schemas.openxmlformats.org/drawingml/2006/main" flipH="1" flipV="1">
          <a:off x="2381250" y="990598"/>
          <a:ext cx="2686050" cy="1371601"/>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0.35484</cdr:x>
      <cdr:y>0.16319</cdr:y>
    </cdr:from>
    <cdr:to>
      <cdr:x>0.75073</cdr:x>
      <cdr:y>0.86111</cdr:y>
    </cdr:to>
    <cdr:sp macro="" textlink="">
      <cdr:nvSpPr>
        <cdr:cNvPr id="7" name="直線コネクタ 6"/>
        <cdr:cNvSpPr/>
      </cdr:nvSpPr>
      <cdr:spPr>
        <a:xfrm xmlns:a="http://schemas.openxmlformats.org/drawingml/2006/main" flipH="1" flipV="1">
          <a:off x="2305050" y="447674"/>
          <a:ext cx="2571750" cy="1914525"/>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ja-JP"/>
        </a:p>
      </cdr:txBody>
    </cdr:sp>
  </cdr:relSizeAnchor>
  <cdr:relSizeAnchor xmlns:cdr="http://schemas.openxmlformats.org/drawingml/2006/chartDrawing">
    <cdr:from>
      <cdr:x>0.3827</cdr:x>
      <cdr:y>0.77083</cdr:y>
    </cdr:from>
    <cdr:to>
      <cdr:x>0.51173</cdr:x>
      <cdr:y>0.86111</cdr:y>
    </cdr:to>
    <cdr:sp macro="" textlink="">
      <cdr:nvSpPr>
        <cdr:cNvPr id="8" name="テキスト ボックス 4"/>
        <cdr:cNvSpPr txBox="1"/>
      </cdr:nvSpPr>
      <cdr:spPr>
        <a:xfrm xmlns:a="http://schemas.openxmlformats.org/drawingml/2006/main">
          <a:off x="2486025" y="2114550"/>
          <a:ext cx="838200" cy="247650"/>
        </a:xfrm>
        <a:prstGeom xmlns:a="http://schemas.openxmlformats.org/drawingml/2006/main" prst="rect">
          <a:avLst/>
        </a:prstGeom>
        <a:noFill xmlns:a="http://schemas.openxmlformats.org/drawingml/2006/main"/>
        <a:ln xmlns:a="http://schemas.openxmlformats.org/drawingml/2006/main" w="9525" cmpd="sng">
          <a:solidFill>
            <a:sysClr val="window" lastClr="FFFFFF">
              <a:shade val="50000"/>
            </a:sysClr>
          </a:solid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kumimoji="1" lang="ja-JP" altLang="en-US" sz="1100"/>
            <a:t>基準計画</a:t>
          </a:r>
        </a:p>
      </cdr:txBody>
    </cdr:sp>
  </cdr:relSizeAnchor>
  <cdr:relSizeAnchor xmlns:cdr="http://schemas.openxmlformats.org/drawingml/2006/chartDrawing">
    <cdr:from>
      <cdr:x>0.69355</cdr:x>
      <cdr:y>0.625</cdr:y>
    </cdr:from>
    <cdr:to>
      <cdr:x>0.82258</cdr:x>
      <cdr:y>0.71528</cdr:y>
    </cdr:to>
    <cdr:sp macro="" textlink="">
      <cdr:nvSpPr>
        <cdr:cNvPr id="9" name="テキスト ボックス 4"/>
        <cdr:cNvSpPr txBox="1"/>
      </cdr:nvSpPr>
      <cdr:spPr>
        <a:xfrm xmlns:a="http://schemas.openxmlformats.org/drawingml/2006/main">
          <a:off x="4505325" y="1714500"/>
          <a:ext cx="838200" cy="247650"/>
        </a:xfrm>
        <a:prstGeom xmlns:a="http://schemas.openxmlformats.org/drawingml/2006/main" prst="rect">
          <a:avLst/>
        </a:prstGeom>
        <a:noFill xmlns:a="http://schemas.openxmlformats.org/drawingml/2006/main"/>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kumimoji="1" lang="ja-JP" altLang="en-US" sz="1100"/>
            <a:t>進捗率</a:t>
          </a:r>
        </a:p>
      </cdr:txBody>
    </cdr:sp>
  </cdr:relSizeAnchor>
</c:userShap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B2:S26"/>
  <sheetViews>
    <sheetView workbookViewId="0">
      <selection activeCell="C4" sqref="C4"/>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44</v>
      </c>
      <c r="D3" s="2"/>
      <c r="E3" s="2" t="s">
        <v>28</v>
      </c>
      <c r="F3" s="2"/>
      <c r="G3" s="2"/>
      <c r="H3" s="2"/>
      <c r="I3" s="2"/>
      <c r="J3" s="2"/>
      <c r="K3" s="2"/>
      <c r="L3" s="2"/>
      <c r="M3" s="2"/>
      <c r="N3" s="2"/>
      <c r="O3" s="2"/>
      <c r="P3" s="2"/>
      <c r="Q3" s="2"/>
      <c r="R3" s="2"/>
      <c r="S3" s="2"/>
    </row>
    <row r="4" spans="2:19">
      <c r="B4" s="2" t="s">
        <v>42</v>
      </c>
      <c r="C4" s="2" t="s">
        <v>43</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9"/>
      <c r="C11" s="9"/>
      <c r="D11" s="9"/>
      <c r="E11" s="2"/>
      <c r="F11" s="2"/>
      <c r="G11" s="2"/>
      <c r="H11" s="2"/>
      <c r="I11" s="2"/>
      <c r="J11" s="2"/>
      <c r="K11" s="2"/>
      <c r="L11" s="2"/>
      <c r="M11" s="2"/>
      <c r="N11" s="2"/>
      <c r="O11" s="2"/>
      <c r="P11" s="2"/>
      <c r="Q11" s="2"/>
      <c r="R11" s="2"/>
      <c r="S11" s="2"/>
    </row>
    <row r="12" spans="2:19" ht="14.25" thickTop="1">
      <c r="B12" s="2" t="s">
        <v>52</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44</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45</v>
      </c>
      <c r="C18" s="2" t="s">
        <v>46</v>
      </c>
      <c r="D18" s="2"/>
      <c r="E18" s="2"/>
      <c r="F18" s="2"/>
      <c r="G18" s="2"/>
      <c r="H18" s="2"/>
      <c r="I18" s="2"/>
      <c r="J18" s="2"/>
      <c r="K18" s="2"/>
      <c r="L18" s="2"/>
      <c r="M18" s="2"/>
      <c r="N18" s="2"/>
      <c r="O18" s="2"/>
      <c r="P18" s="2"/>
      <c r="Q18" s="2"/>
      <c r="R18" s="2"/>
      <c r="S18" s="2"/>
    </row>
    <row r="19" spans="2:19">
      <c r="B19" s="2" t="s">
        <v>49</v>
      </c>
      <c r="C19" s="10" t="s">
        <v>101</v>
      </c>
    </row>
    <row r="20" spans="2:19">
      <c r="B20" s="2" t="s">
        <v>48</v>
      </c>
      <c r="C20" s="11" t="s">
        <v>47</v>
      </c>
    </row>
    <row r="21" spans="2:19">
      <c r="B21" s="2" t="s">
        <v>50</v>
      </c>
      <c r="C21" s="11" t="s">
        <v>100</v>
      </c>
    </row>
    <row r="24" spans="2:19" ht="14.25" thickBot="1">
      <c r="B24" s="9"/>
      <c r="C24" s="9"/>
      <c r="D24" s="9"/>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51</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
  <dimension ref="A1:D13"/>
  <sheetViews>
    <sheetView workbookViewId="0">
      <selection activeCell="C7" sqref="C7"/>
    </sheetView>
  </sheetViews>
  <sheetFormatPr defaultRowHeight="13.5"/>
  <cols>
    <col min="1" max="2" width="2" customWidth="1"/>
    <col min="3" max="3" width="77.375" customWidth="1"/>
    <col min="4" max="5" width="2.25" customWidth="1"/>
  </cols>
  <sheetData>
    <row r="1" spans="1:4">
      <c r="A1" s="12"/>
      <c r="C1" s="8" t="s">
        <v>19</v>
      </c>
    </row>
    <row r="2" spans="1:4">
      <c r="C2" s="4"/>
      <c r="D2" s="5" t="s">
        <v>98</v>
      </c>
    </row>
    <row r="3" spans="1:4">
      <c r="D3" s="7" t="s">
        <v>102</v>
      </c>
    </row>
    <row r="4" spans="1:4">
      <c r="D4" s="6" t="s">
        <v>99</v>
      </c>
    </row>
    <row r="5" spans="1:4">
      <c r="A5" s="15" t="s">
        <v>53</v>
      </c>
    </row>
    <row r="6" spans="1:4">
      <c r="B6" s="15" t="s">
        <v>103</v>
      </c>
      <c r="D6" s="6" t="s">
        <v>104</v>
      </c>
    </row>
    <row r="8" spans="1:4">
      <c r="A8" s="15" t="s">
        <v>54</v>
      </c>
    </row>
    <row r="9" spans="1:4">
      <c r="B9" s="15" t="s">
        <v>96</v>
      </c>
      <c r="D9" s="6" t="s">
        <v>97</v>
      </c>
    </row>
    <row r="11" spans="1:4">
      <c r="A11" s="15" t="s">
        <v>55</v>
      </c>
    </row>
    <row r="13" spans="1:4">
      <c r="A13" s="15"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4"/>
  <dimension ref="A1:Z6"/>
  <sheetViews>
    <sheetView tabSelected="1" workbookViewId="0">
      <selection activeCell="G14" sqref="G14"/>
    </sheetView>
  </sheetViews>
  <sheetFormatPr defaultRowHeight="13.5"/>
  <sheetData>
    <row r="1" spans="1:26">
      <c r="A1" s="15" t="s">
        <v>1</v>
      </c>
      <c r="B1" s="15" t="s">
        <v>2</v>
      </c>
      <c r="C1" s="15" t="s">
        <v>3</v>
      </c>
      <c r="D1" s="15" t="s">
        <v>4</v>
      </c>
      <c r="E1" s="15" t="s">
        <v>5</v>
      </c>
      <c r="F1" s="15" t="s">
        <v>6</v>
      </c>
      <c r="G1" s="15" t="s">
        <v>7</v>
      </c>
      <c r="H1" s="15" t="s">
        <v>8</v>
      </c>
      <c r="I1" s="15" t="s">
        <v>9</v>
      </c>
      <c r="J1" s="15" t="s">
        <v>10</v>
      </c>
      <c r="K1" s="15" t="s">
        <v>11</v>
      </c>
      <c r="L1" s="15" t="s">
        <v>12</v>
      </c>
      <c r="M1" s="15" t="s">
        <v>13</v>
      </c>
      <c r="N1" s="15" t="s">
        <v>14</v>
      </c>
      <c r="O1" s="15" t="s">
        <v>62</v>
      </c>
      <c r="P1" s="15" t="s">
        <v>63</v>
      </c>
      <c r="Q1" s="15" t="s">
        <v>64</v>
      </c>
      <c r="R1" s="15" t="s">
        <v>65</v>
      </c>
      <c r="S1" s="15" t="s">
        <v>66</v>
      </c>
      <c r="T1" s="15" t="s">
        <v>67</v>
      </c>
      <c r="U1" s="15" t="s">
        <v>68</v>
      </c>
      <c r="V1" s="15" t="s">
        <v>69</v>
      </c>
      <c r="W1" s="15" t="s">
        <v>70</v>
      </c>
      <c r="X1" s="15" t="s">
        <v>71</v>
      </c>
      <c r="Y1" s="15" t="s">
        <v>72</v>
      </c>
      <c r="Z1" s="15" t="s">
        <v>73</v>
      </c>
    </row>
    <row r="2" spans="1:26">
      <c r="A2">
        <v>1</v>
      </c>
      <c r="B2" s="22" t="s">
        <v>33</v>
      </c>
      <c r="C2" s="22" t="s">
        <v>21</v>
      </c>
      <c r="D2" s="22" t="s">
        <v>22</v>
      </c>
      <c r="E2" s="22"/>
      <c r="F2" s="22" t="s">
        <v>15</v>
      </c>
      <c r="G2" s="22" t="s">
        <v>16</v>
      </c>
      <c r="H2" s="22" t="s">
        <v>17</v>
      </c>
      <c r="I2" s="22" t="s">
        <v>18</v>
      </c>
      <c r="J2" s="22" t="s">
        <v>34</v>
      </c>
      <c r="K2" s="22"/>
      <c r="L2" s="22"/>
      <c r="M2" s="22"/>
      <c r="N2" s="22"/>
      <c r="O2" s="23">
        <v>40044</v>
      </c>
      <c r="P2" s="23">
        <v>40059</v>
      </c>
      <c r="Q2" s="22"/>
      <c r="R2" s="22"/>
      <c r="S2" s="22"/>
      <c r="T2" s="22"/>
      <c r="U2" s="22"/>
      <c r="V2" s="22"/>
      <c r="W2" s="22"/>
      <c r="X2" s="22"/>
      <c r="Y2" s="22"/>
      <c r="Z2" s="22"/>
    </row>
    <row r="3" spans="1:26">
      <c r="A3">
        <v>2</v>
      </c>
      <c r="B3" s="22" t="s">
        <v>56</v>
      </c>
      <c r="C3" s="22" t="s">
        <v>21</v>
      </c>
      <c r="D3" s="22" t="s">
        <v>21</v>
      </c>
      <c r="E3" s="22"/>
      <c r="F3" s="22" t="s">
        <v>57</v>
      </c>
      <c r="G3" s="22" t="s">
        <v>74</v>
      </c>
      <c r="H3" s="22" t="s">
        <v>17</v>
      </c>
      <c r="I3" s="22"/>
      <c r="J3" s="22" t="s">
        <v>34</v>
      </c>
      <c r="K3" s="22"/>
      <c r="L3" s="22"/>
      <c r="M3" s="22"/>
      <c r="N3" s="22"/>
      <c r="O3" s="22"/>
      <c r="P3" s="22"/>
      <c r="Q3" s="22"/>
      <c r="R3" s="22"/>
      <c r="S3" s="22"/>
      <c r="T3" s="22"/>
      <c r="U3" s="22"/>
      <c r="V3" s="22"/>
      <c r="W3" s="22">
        <v>0</v>
      </c>
      <c r="X3" s="22"/>
      <c r="Y3" s="22">
        <v>1</v>
      </c>
      <c r="Z3" s="24">
        <v>0</v>
      </c>
    </row>
    <row r="4" spans="1:26">
      <c r="A4">
        <v>4</v>
      </c>
      <c r="B4" s="22" t="s">
        <v>115</v>
      </c>
      <c r="C4" s="22" t="s">
        <v>21</v>
      </c>
      <c r="D4" s="22" t="s">
        <v>22</v>
      </c>
      <c r="E4" s="22"/>
      <c r="F4" s="22" t="s">
        <v>15</v>
      </c>
      <c r="G4" s="22" t="s">
        <v>16</v>
      </c>
      <c r="H4" s="22" t="s">
        <v>17</v>
      </c>
      <c r="I4" s="22"/>
      <c r="J4" s="22" t="s">
        <v>34</v>
      </c>
      <c r="K4" s="22"/>
      <c r="L4" s="22"/>
      <c r="M4" s="22"/>
      <c r="N4" s="22"/>
      <c r="O4" s="22"/>
      <c r="P4" s="22"/>
      <c r="Q4" s="22"/>
      <c r="R4" s="22"/>
      <c r="S4" s="22"/>
      <c r="T4" s="22"/>
      <c r="U4" s="23">
        <v>40111</v>
      </c>
      <c r="V4" s="23">
        <v>40111</v>
      </c>
      <c r="W4" s="22">
        <v>0</v>
      </c>
      <c r="X4" s="24">
        <v>4</v>
      </c>
      <c r="Y4" s="22">
        <v>1</v>
      </c>
      <c r="Z4" s="24">
        <v>120</v>
      </c>
    </row>
    <row r="5" spans="1:26">
      <c r="A5">
        <v>5</v>
      </c>
      <c r="B5" s="22" t="s">
        <v>116</v>
      </c>
      <c r="C5" s="22" t="s">
        <v>21</v>
      </c>
      <c r="D5" s="22" t="s">
        <v>22</v>
      </c>
      <c r="E5" s="22"/>
      <c r="F5" s="22" t="s">
        <v>15</v>
      </c>
      <c r="G5" s="22" t="s">
        <v>16</v>
      </c>
      <c r="H5" s="24" t="s">
        <v>120</v>
      </c>
      <c r="I5" s="22"/>
      <c r="J5" s="22" t="s">
        <v>34</v>
      </c>
      <c r="K5" s="22"/>
      <c r="L5" s="22"/>
      <c r="M5" s="22"/>
      <c r="N5" s="22"/>
      <c r="O5" s="22"/>
      <c r="P5" s="22"/>
      <c r="Q5" s="22"/>
      <c r="R5" s="22" t="s">
        <v>39</v>
      </c>
      <c r="S5" s="22" t="s">
        <v>117</v>
      </c>
      <c r="T5" s="22"/>
      <c r="U5" s="22"/>
      <c r="V5" s="22"/>
      <c r="W5" s="22">
        <v>0</v>
      </c>
      <c r="X5" s="22">
        <v>0</v>
      </c>
      <c r="Y5" s="22">
        <v>1</v>
      </c>
      <c r="Z5" s="24">
        <v>0</v>
      </c>
    </row>
    <row r="6" spans="1:26">
      <c r="A6">
        <v>6</v>
      </c>
      <c r="B6" s="22" t="s">
        <v>118</v>
      </c>
      <c r="C6" s="22" t="s">
        <v>21</v>
      </c>
      <c r="D6" s="22" t="s">
        <v>22</v>
      </c>
      <c r="E6" s="22"/>
      <c r="F6" s="22" t="s">
        <v>15</v>
      </c>
      <c r="G6" s="22" t="s">
        <v>16</v>
      </c>
      <c r="H6" s="22" t="s">
        <v>17</v>
      </c>
      <c r="I6" s="22"/>
      <c r="J6" s="22" t="s">
        <v>34</v>
      </c>
      <c r="K6" s="22"/>
      <c r="L6" s="22"/>
      <c r="M6" s="22"/>
      <c r="N6" s="22"/>
      <c r="O6" s="22"/>
      <c r="P6" s="22"/>
      <c r="Q6" s="22"/>
      <c r="R6" s="22" t="s">
        <v>119</v>
      </c>
      <c r="S6" s="22"/>
      <c r="T6" s="22"/>
      <c r="U6" s="22"/>
      <c r="V6" s="22"/>
      <c r="W6" s="22">
        <v>0</v>
      </c>
      <c r="X6" s="22">
        <v>0</v>
      </c>
      <c r="Y6" s="22">
        <v>1</v>
      </c>
      <c r="Z6" s="24">
        <v>0</v>
      </c>
    </row>
  </sheetData>
  <phoneticPr fontId="1"/>
  <dataValidations count="9">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 type="list" allowBlank="1" showInputMessage="1" showErrorMessage="1" sqref="Y2:Y65536">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6"/>
  <dimension ref="A1:U5"/>
  <sheetViews>
    <sheetView workbookViewId="0"/>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35</v>
      </c>
      <c r="S1" t="s">
        <v>36</v>
      </c>
      <c r="T1" t="s">
        <v>37</v>
      </c>
      <c r="U1" t="s">
        <v>32</v>
      </c>
    </row>
    <row r="2" spans="1:21">
      <c r="A2">
        <v>1</v>
      </c>
      <c r="B2" t="s">
        <v>38</v>
      </c>
      <c r="C2" t="s">
        <v>21</v>
      </c>
      <c r="D2" t="s">
        <v>22</v>
      </c>
      <c r="F2" t="s">
        <v>15</v>
      </c>
      <c r="G2" t="s">
        <v>16</v>
      </c>
      <c r="H2" t="s">
        <v>17</v>
      </c>
      <c r="J2" t="s">
        <v>34</v>
      </c>
      <c r="O2" s="13">
        <v>40046</v>
      </c>
      <c r="P2" s="13">
        <v>40053</v>
      </c>
      <c r="Q2">
        <v>10</v>
      </c>
      <c r="R2" s="13">
        <v>40049</v>
      </c>
      <c r="S2" s="13">
        <v>40052</v>
      </c>
      <c r="T2" t="s">
        <v>39</v>
      </c>
    </row>
    <row r="3" spans="1:21">
      <c r="A3">
        <v>2</v>
      </c>
      <c r="B3" t="s">
        <v>40</v>
      </c>
      <c r="C3" t="s">
        <v>21</v>
      </c>
      <c r="D3" t="s">
        <v>22</v>
      </c>
      <c r="F3" t="s">
        <v>15</v>
      </c>
      <c r="G3" t="s">
        <v>16</v>
      </c>
      <c r="H3" t="s">
        <v>17</v>
      </c>
      <c r="J3" t="s">
        <v>34</v>
      </c>
      <c r="O3" s="13">
        <v>40050</v>
      </c>
      <c r="P3" s="13">
        <v>40056</v>
      </c>
      <c r="Q3">
        <v>0</v>
      </c>
      <c r="R3" s="13">
        <v>40057</v>
      </c>
      <c r="S3" s="13">
        <v>40049</v>
      </c>
      <c r="T3" t="s">
        <v>39</v>
      </c>
      <c r="U3" t="s">
        <v>41</v>
      </c>
    </row>
    <row r="4" spans="1:21">
      <c r="A4">
        <v>3</v>
      </c>
      <c r="B4" t="s">
        <v>58</v>
      </c>
      <c r="C4" t="s">
        <v>21</v>
      </c>
      <c r="F4" t="s">
        <v>15</v>
      </c>
      <c r="G4" t="s">
        <v>16</v>
      </c>
      <c r="H4" t="s">
        <v>17</v>
      </c>
      <c r="O4" s="13">
        <v>40051</v>
      </c>
      <c r="P4" s="13">
        <v>40057</v>
      </c>
      <c r="T4" t="s">
        <v>39</v>
      </c>
      <c r="U4" t="s">
        <v>59</v>
      </c>
    </row>
    <row r="5" spans="1:21">
      <c r="A5">
        <v>4</v>
      </c>
      <c r="B5" t="s">
        <v>60</v>
      </c>
      <c r="C5" t="s">
        <v>21</v>
      </c>
      <c r="F5" t="s">
        <v>15</v>
      </c>
      <c r="G5" t="s">
        <v>16</v>
      </c>
      <c r="H5" t="s">
        <v>17</v>
      </c>
      <c r="O5" s="13">
        <v>40058</v>
      </c>
      <c r="P5" s="13">
        <v>40068</v>
      </c>
      <c r="T5" t="s">
        <v>61</v>
      </c>
      <c r="U5" t="s">
        <v>41</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2"/>
  <dimension ref="A1:H71"/>
  <sheetViews>
    <sheetView topLeftCell="A30" workbookViewId="0">
      <selection activeCell="A31" sqref="A31:G56"/>
    </sheetView>
  </sheetViews>
  <sheetFormatPr defaultRowHeight="13.5"/>
  <cols>
    <col min="1" max="1" width="5.5" bestFit="1" customWidth="1"/>
    <col min="2" max="3" width="11.125" customWidth="1"/>
  </cols>
  <sheetData>
    <row r="1" spans="1:7">
      <c r="A1" s="15" t="s">
        <v>1</v>
      </c>
      <c r="B1" s="17">
        <v>3</v>
      </c>
      <c r="C1" s="15"/>
      <c r="D1" s="15"/>
      <c r="E1" s="15" t="s">
        <v>75</v>
      </c>
      <c r="F1" s="17"/>
      <c r="G1" s="17" t="s">
        <v>76</v>
      </c>
    </row>
    <row r="2" spans="1:7">
      <c r="A2" s="15" t="s">
        <v>77</v>
      </c>
      <c r="B2" s="19">
        <v>40056</v>
      </c>
      <c r="C2" s="19">
        <v>40073</v>
      </c>
      <c r="D2" s="15"/>
      <c r="E2" s="15" t="s">
        <v>78</v>
      </c>
      <c r="F2" s="17">
        <v>160</v>
      </c>
      <c r="G2" s="18" t="s">
        <v>79</v>
      </c>
    </row>
    <row r="3" spans="1:7">
      <c r="A3" s="15" t="s">
        <v>80</v>
      </c>
      <c r="B3" s="19">
        <v>40053</v>
      </c>
      <c r="C3" s="19">
        <v>40066</v>
      </c>
      <c r="D3" s="15"/>
      <c r="E3" s="15" t="s">
        <v>81</v>
      </c>
      <c r="F3" s="17">
        <v>100</v>
      </c>
      <c r="G3" s="16" t="s">
        <v>82</v>
      </c>
    </row>
    <row r="4" spans="1:7">
      <c r="A4" s="15"/>
      <c r="B4" s="15" t="s">
        <v>83</v>
      </c>
      <c r="C4" s="15" t="s">
        <v>84</v>
      </c>
      <c r="D4" s="15" t="s">
        <v>85</v>
      </c>
      <c r="E4" s="15" t="s">
        <v>80</v>
      </c>
      <c r="F4" s="15" t="s">
        <v>77</v>
      </c>
      <c r="G4" s="15" t="s">
        <v>86</v>
      </c>
    </row>
    <row r="5" spans="1:7">
      <c r="A5" s="20">
        <v>40053</v>
      </c>
      <c r="B5" s="15"/>
      <c r="C5" s="15"/>
      <c r="D5" s="15"/>
      <c r="E5" s="16">
        <v>100</v>
      </c>
      <c r="F5" s="15"/>
      <c r="G5" s="15"/>
    </row>
    <row r="6" spans="1:7">
      <c r="A6" s="20">
        <v>40066</v>
      </c>
      <c r="B6" s="15"/>
      <c r="C6" s="15"/>
      <c r="D6" s="15"/>
      <c r="E6" s="16">
        <v>0</v>
      </c>
      <c r="F6" s="15"/>
      <c r="G6" s="15"/>
    </row>
    <row r="7" spans="1:7">
      <c r="A7" s="20">
        <v>40056</v>
      </c>
      <c r="B7" s="15"/>
      <c r="C7" s="15"/>
      <c r="D7" s="15"/>
      <c r="E7" s="15"/>
      <c r="F7" s="16">
        <v>0</v>
      </c>
      <c r="G7" s="15"/>
    </row>
    <row r="8" spans="1:7">
      <c r="A8" s="20">
        <v>40056</v>
      </c>
      <c r="B8" s="15"/>
      <c r="C8" s="15"/>
      <c r="D8" s="15"/>
      <c r="E8" s="15"/>
      <c r="F8" s="16">
        <v>160</v>
      </c>
      <c r="G8" s="15"/>
    </row>
    <row r="9" spans="1:7">
      <c r="A9" s="20">
        <v>40073</v>
      </c>
      <c r="B9" s="15"/>
      <c r="C9" s="15"/>
      <c r="D9" s="15"/>
      <c r="E9" s="15"/>
      <c r="F9" s="16">
        <v>0</v>
      </c>
      <c r="G9" s="15"/>
    </row>
    <row r="10" spans="1:7">
      <c r="A10" s="20">
        <v>40073</v>
      </c>
      <c r="B10" s="15"/>
      <c r="C10" s="15"/>
      <c r="D10" s="15"/>
      <c r="E10" s="15"/>
      <c r="F10" s="16">
        <v>160</v>
      </c>
      <c r="G10" s="15"/>
    </row>
    <row r="11" spans="1:7">
      <c r="A11" s="21">
        <v>40072</v>
      </c>
      <c r="B11" s="16">
        <v>12</v>
      </c>
      <c r="C11" s="18">
        <v>160</v>
      </c>
      <c r="D11" s="18">
        <v>12</v>
      </c>
      <c r="E11" s="15"/>
      <c r="F11" s="15"/>
      <c r="G11" s="18">
        <v>148</v>
      </c>
    </row>
    <row r="12" spans="1:7">
      <c r="A12" s="21">
        <v>40071</v>
      </c>
      <c r="B12" s="16">
        <v>4</v>
      </c>
      <c r="C12" s="18">
        <v>140</v>
      </c>
      <c r="D12" s="18">
        <v>24</v>
      </c>
      <c r="E12" s="15"/>
      <c r="F12" s="15"/>
      <c r="G12" s="18">
        <v>136</v>
      </c>
    </row>
    <row r="13" spans="1:7">
      <c r="A13" s="21">
        <v>40070</v>
      </c>
      <c r="B13" s="16">
        <v>16</v>
      </c>
      <c r="C13" s="18">
        <v>140</v>
      </c>
      <c r="D13" s="18">
        <v>36</v>
      </c>
      <c r="E13" s="15"/>
      <c r="F13" s="15"/>
      <c r="G13" s="18">
        <v>124</v>
      </c>
    </row>
    <row r="14" spans="1:7">
      <c r="A14" s="21">
        <v>40069</v>
      </c>
      <c r="B14" s="16">
        <v>28</v>
      </c>
      <c r="C14" s="18">
        <v>140</v>
      </c>
      <c r="D14" s="18">
        <v>48</v>
      </c>
      <c r="E14" s="15"/>
      <c r="F14" s="15"/>
      <c r="G14" s="18">
        <v>112</v>
      </c>
    </row>
    <row r="15" spans="1:7">
      <c r="A15" s="21">
        <v>40068</v>
      </c>
      <c r="B15" s="16">
        <v>40</v>
      </c>
      <c r="C15" s="18">
        <v>140</v>
      </c>
      <c r="D15" s="18">
        <v>60</v>
      </c>
      <c r="E15" s="15"/>
      <c r="F15" s="15"/>
      <c r="G15" s="18">
        <v>100</v>
      </c>
    </row>
    <row r="16" spans="1:7">
      <c r="A16" s="21">
        <v>40067</v>
      </c>
      <c r="B16" s="16">
        <v>30</v>
      </c>
      <c r="C16" s="18">
        <v>120</v>
      </c>
      <c r="D16" s="18">
        <v>70</v>
      </c>
      <c r="E16" s="15"/>
      <c r="F16" s="15"/>
      <c r="G16" s="18">
        <v>90</v>
      </c>
    </row>
    <row r="17" spans="1:7">
      <c r="A17" s="21">
        <v>40066</v>
      </c>
      <c r="B17" s="16">
        <v>40</v>
      </c>
      <c r="C17" s="18">
        <v>120</v>
      </c>
      <c r="D17" s="18">
        <v>80</v>
      </c>
      <c r="E17" s="15"/>
      <c r="F17" s="15"/>
      <c r="G17" s="18">
        <v>80</v>
      </c>
    </row>
    <row r="18" spans="1:7">
      <c r="A18" s="21">
        <v>40065</v>
      </c>
      <c r="B18" s="16">
        <v>50</v>
      </c>
      <c r="C18" s="18">
        <v>120</v>
      </c>
      <c r="D18" s="18">
        <v>90</v>
      </c>
      <c r="E18" s="15"/>
      <c r="F18" s="15"/>
      <c r="G18" s="18">
        <v>70</v>
      </c>
    </row>
    <row r="19" spans="1:7">
      <c r="A19" s="21">
        <v>40064</v>
      </c>
      <c r="B19" s="16">
        <v>58</v>
      </c>
      <c r="C19" s="18">
        <v>120</v>
      </c>
      <c r="D19" s="18">
        <v>98</v>
      </c>
      <c r="E19" s="15"/>
      <c r="F19" s="15"/>
      <c r="G19" s="18">
        <v>62</v>
      </c>
    </row>
    <row r="20" spans="1:7">
      <c r="A20" s="21">
        <v>40063</v>
      </c>
      <c r="B20" s="16">
        <v>46</v>
      </c>
      <c r="C20" s="18">
        <v>100</v>
      </c>
      <c r="D20" s="18">
        <v>106</v>
      </c>
      <c r="E20" s="15"/>
      <c r="F20" s="15"/>
      <c r="G20" s="18">
        <v>54</v>
      </c>
    </row>
    <row r="21" spans="1:7">
      <c r="A21" s="21">
        <v>40062</v>
      </c>
      <c r="B21" s="16">
        <v>54</v>
      </c>
      <c r="C21" s="18">
        <v>100</v>
      </c>
      <c r="D21" s="18">
        <v>114</v>
      </c>
      <c r="E21" s="15"/>
      <c r="F21" s="15"/>
      <c r="G21" s="18">
        <v>46</v>
      </c>
    </row>
    <row r="22" spans="1:7">
      <c r="A22" s="21">
        <v>40061</v>
      </c>
      <c r="B22" s="16">
        <v>62</v>
      </c>
      <c r="C22" s="18">
        <v>100</v>
      </c>
      <c r="D22" s="18">
        <v>122</v>
      </c>
      <c r="E22" s="15"/>
      <c r="F22" s="15"/>
      <c r="G22" s="18">
        <v>38</v>
      </c>
    </row>
    <row r="23" spans="1:7">
      <c r="A23" s="21">
        <v>40060</v>
      </c>
      <c r="B23" s="16">
        <v>70</v>
      </c>
      <c r="C23" s="18">
        <v>100</v>
      </c>
      <c r="D23" s="18">
        <v>130</v>
      </c>
      <c r="E23" s="15"/>
      <c r="F23" s="15"/>
      <c r="G23" s="18">
        <v>30</v>
      </c>
    </row>
    <row r="24" spans="1:7">
      <c r="A24" s="21">
        <v>40059</v>
      </c>
      <c r="B24" s="16">
        <v>78</v>
      </c>
      <c r="C24" s="18">
        <v>100</v>
      </c>
      <c r="D24" s="18">
        <v>138</v>
      </c>
      <c r="E24" s="15"/>
      <c r="F24" s="15"/>
      <c r="G24" s="18">
        <v>22</v>
      </c>
    </row>
    <row r="25" spans="1:7">
      <c r="A25" s="21">
        <v>40058</v>
      </c>
      <c r="B25" s="16">
        <v>86</v>
      </c>
      <c r="C25" s="18">
        <v>100</v>
      </c>
      <c r="D25" s="18">
        <v>146</v>
      </c>
      <c r="E25" s="15"/>
      <c r="F25" s="15"/>
      <c r="G25" s="18">
        <v>14</v>
      </c>
    </row>
    <row r="26" spans="1:7">
      <c r="A26" s="21">
        <v>40057</v>
      </c>
      <c r="B26" s="16">
        <v>94</v>
      </c>
      <c r="C26" s="18">
        <v>100</v>
      </c>
      <c r="D26" s="18">
        <v>154</v>
      </c>
      <c r="E26" s="15"/>
      <c r="F26" s="15"/>
      <c r="G26" s="18">
        <v>6</v>
      </c>
    </row>
    <row r="27" spans="1:7">
      <c r="A27" s="20">
        <v>40056</v>
      </c>
      <c r="B27" s="16">
        <v>100</v>
      </c>
      <c r="C27" s="16">
        <v>100</v>
      </c>
      <c r="D27" s="18">
        <v>160</v>
      </c>
      <c r="E27" s="16"/>
      <c r="F27" s="16"/>
      <c r="G27" s="16">
        <v>0</v>
      </c>
    </row>
    <row r="31" spans="1:7">
      <c r="A31">
        <v>3</v>
      </c>
      <c r="E31" s="15" t="s">
        <v>107</v>
      </c>
      <c r="F31" s="15" t="s">
        <v>108</v>
      </c>
    </row>
    <row r="32" spans="1:7">
      <c r="A32" s="15" t="s">
        <v>105</v>
      </c>
      <c r="B32" s="13">
        <v>40071</v>
      </c>
      <c r="C32" s="13">
        <v>40084</v>
      </c>
      <c r="E32" s="15" t="s">
        <v>109</v>
      </c>
      <c r="F32">
        <v>140</v>
      </c>
    </row>
    <row r="33" spans="1:8">
      <c r="A33" s="15" t="s">
        <v>106</v>
      </c>
      <c r="B33" s="13">
        <v>40073</v>
      </c>
      <c r="C33" s="13">
        <v>40089</v>
      </c>
      <c r="E33" s="15" t="s">
        <v>110</v>
      </c>
      <c r="F33">
        <v>100</v>
      </c>
    </row>
    <row r="34" spans="1:8">
      <c r="B34" s="15" t="s">
        <v>111</v>
      </c>
      <c r="C34" s="15" t="s">
        <v>112</v>
      </c>
      <c r="D34" s="15" t="s">
        <v>113</v>
      </c>
      <c r="E34" s="15" t="s">
        <v>105</v>
      </c>
      <c r="F34" s="15" t="s">
        <v>106</v>
      </c>
      <c r="G34" s="15" t="s">
        <v>114</v>
      </c>
    </row>
    <row r="35" spans="1:8">
      <c r="A35" s="14">
        <v>40071</v>
      </c>
      <c r="E35">
        <v>100</v>
      </c>
    </row>
    <row r="36" spans="1:8">
      <c r="A36" s="14">
        <v>40084</v>
      </c>
      <c r="E36">
        <v>0</v>
      </c>
    </row>
    <row r="37" spans="1:8">
      <c r="A37" s="14">
        <v>40073</v>
      </c>
      <c r="F37">
        <v>0</v>
      </c>
    </row>
    <row r="38" spans="1:8">
      <c r="A38" s="14">
        <v>40073</v>
      </c>
      <c r="F38">
        <v>140</v>
      </c>
    </row>
    <row r="39" spans="1:8">
      <c r="A39" s="14">
        <v>40089</v>
      </c>
      <c r="F39">
        <v>0</v>
      </c>
    </row>
    <row r="40" spans="1:8">
      <c r="A40" s="14">
        <v>40089</v>
      </c>
      <c r="F40">
        <v>140</v>
      </c>
    </row>
    <row r="41" spans="1:8">
      <c r="A41" s="14">
        <f>A42-1</f>
        <v>40076.125</v>
      </c>
      <c r="B41">
        <f>C41</f>
        <v>100</v>
      </c>
      <c r="C41" s="15">
        <f>C42</f>
        <v>100</v>
      </c>
      <c r="D41" s="15">
        <v>140</v>
      </c>
      <c r="E41" s="15"/>
      <c r="F41" s="15"/>
      <c r="G41">
        <f>G42</f>
        <v>100</v>
      </c>
      <c r="H41">
        <v>0</v>
      </c>
    </row>
    <row r="42" spans="1:8">
      <c r="A42" s="14">
        <v>40077.125</v>
      </c>
      <c r="B42">
        <v>92</v>
      </c>
      <c r="C42">
        <v>100</v>
      </c>
      <c r="D42">
        <v>132</v>
      </c>
      <c r="G42">
        <v>100</v>
      </c>
      <c r="H42">
        <v>8</v>
      </c>
    </row>
    <row r="43" spans="1:8">
      <c r="A43" s="14">
        <v>40078.125</v>
      </c>
      <c r="B43">
        <v>84</v>
      </c>
      <c r="C43">
        <v>100</v>
      </c>
      <c r="D43">
        <v>124</v>
      </c>
      <c r="G43">
        <v>100</v>
      </c>
      <c r="H43">
        <v>16</v>
      </c>
    </row>
    <row r="44" spans="1:8">
      <c r="A44" s="14">
        <v>40079.125</v>
      </c>
      <c r="B44">
        <v>76</v>
      </c>
      <c r="C44">
        <v>100</v>
      </c>
      <c r="D44">
        <v>116</v>
      </c>
      <c r="G44">
        <v>100</v>
      </c>
      <c r="H44">
        <v>24</v>
      </c>
    </row>
    <row r="45" spans="1:8">
      <c r="A45" s="14">
        <v>40080.125</v>
      </c>
      <c r="B45">
        <v>68</v>
      </c>
      <c r="C45">
        <v>100</v>
      </c>
      <c r="D45">
        <v>108</v>
      </c>
      <c r="G45">
        <v>100</v>
      </c>
      <c r="H45">
        <v>32</v>
      </c>
    </row>
    <row r="46" spans="1:8">
      <c r="A46" s="14">
        <v>40081.125011574077</v>
      </c>
      <c r="B46">
        <v>80</v>
      </c>
      <c r="C46">
        <v>120</v>
      </c>
      <c r="D46">
        <v>100</v>
      </c>
      <c r="G46">
        <v>100</v>
      </c>
      <c r="H46">
        <v>40</v>
      </c>
    </row>
    <row r="47" spans="1:8">
      <c r="A47" s="14">
        <v>40082.125</v>
      </c>
      <c r="B47">
        <v>70</v>
      </c>
      <c r="C47">
        <v>120</v>
      </c>
      <c r="D47">
        <v>90</v>
      </c>
      <c r="G47">
        <v>100</v>
      </c>
      <c r="H47">
        <v>50</v>
      </c>
    </row>
    <row r="48" spans="1:8">
      <c r="A48" s="14">
        <v>40083.125</v>
      </c>
      <c r="B48">
        <v>70</v>
      </c>
      <c r="C48">
        <v>130</v>
      </c>
      <c r="D48">
        <v>80</v>
      </c>
      <c r="G48">
        <v>100</v>
      </c>
      <c r="H48">
        <v>60</v>
      </c>
    </row>
    <row r="49" spans="1:8">
      <c r="A49" s="14">
        <v>40084.125011574077</v>
      </c>
      <c r="B49">
        <v>60</v>
      </c>
      <c r="C49">
        <v>130</v>
      </c>
      <c r="D49">
        <v>70</v>
      </c>
      <c r="G49">
        <v>100</v>
      </c>
      <c r="H49">
        <v>70</v>
      </c>
    </row>
    <row r="50" spans="1:8">
      <c r="A50" s="14">
        <v>40085.125</v>
      </c>
      <c r="B50">
        <v>50</v>
      </c>
      <c r="C50">
        <v>130</v>
      </c>
      <c r="D50">
        <v>60</v>
      </c>
      <c r="G50">
        <v>100</v>
      </c>
      <c r="H50">
        <v>80</v>
      </c>
    </row>
    <row r="51" spans="1:8">
      <c r="A51" s="14">
        <v>40086.125</v>
      </c>
      <c r="B51">
        <v>40</v>
      </c>
      <c r="C51">
        <v>130</v>
      </c>
      <c r="D51">
        <v>50</v>
      </c>
      <c r="G51">
        <v>100</v>
      </c>
      <c r="H51">
        <v>90</v>
      </c>
    </row>
    <row r="52" spans="1:8">
      <c r="A52" s="14">
        <v>40087.125</v>
      </c>
      <c r="B52">
        <v>30</v>
      </c>
      <c r="C52">
        <v>130</v>
      </c>
      <c r="D52">
        <v>40</v>
      </c>
      <c r="G52">
        <v>100</v>
      </c>
      <c r="H52">
        <v>100</v>
      </c>
    </row>
    <row r="53" spans="1:8">
      <c r="A53" s="14">
        <v>40088.125</v>
      </c>
      <c r="B53">
        <v>25</v>
      </c>
      <c r="C53">
        <v>135</v>
      </c>
      <c r="D53">
        <v>30</v>
      </c>
      <c r="G53">
        <v>100</v>
      </c>
      <c r="H53">
        <v>110</v>
      </c>
    </row>
    <row r="54" spans="1:8">
      <c r="A54" s="14">
        <v>40089.125</v>
      </c>
      <c r="B54">
        <v>20</v>
      </c>
      <c r="C54">
        <v>140</v>
      </c>
      <c r="D54">
        <v>20</v>
      </c>
      <c r="G54">
        <v>100</v>
      </c>
      <c r="H54">
        <v>120</v>
      </c>
    </row>
    <row r="55" spans="1:8">
      <c r="A55" s="14">
        <v>40090.125</v>
      </c>
      <c r="B55">
        <v>10</v>
      </c>
      <c r="C55">
        <v>140</v>
      </c>
      <c r="D55">
        <v>10</v>
      </c>
      <c r="G55">
        <v>100</v>
      </c>
      <c r="H55">
        <v>130</v>
      </c>
    </row>
    <row r="56" spans="1:8">
      <c r="A56" s="14">
        <v>40091.392881944441</v>
      </c>
      <c r="B56">
        <v>0</v>
      </c>
      <c r="C56">
        <v>140</v>
      </c>
      <c r="D56">
        <v>0</v>
      </c>
      <c r="G56">
        <v>100</v>
      </c>
      <c r="H56">
        <v>140</v>
      </c>
    </row>
    <row r="57" spans="1:8">
      <c r="A57" s="14"/>
    </row>
    <row r="58" spans="1:8">
      <c r="A58" s="14"/>
    </row>
    <row r="59" spans="1:8">
      <c r="A59" s="14"/>
    </row>
    <row r="60" spans="1:8">
      <c r="A60" s="14"/>
    </row>
    <row r="61" spans="1:8">
      <c r="A61" s="14"/>
    </row>
    <row r="62" spans="1:8">
      <c r="A62" s="14"/>
    </row>
    <row r="63" spans="1:8">
      <c r="A63" s="14"/>
    </row>
    <row r="64" spans="1:8">
      <c r="A64" s="14"/>
    </row>
    <row r="65" spans="1:1">
      <c r="A65" s="14"/>
    </row>
    <row r="66" spans="1:1">
      <c r="A66" s="14"/>
    </row>
    <row r="67" spans="1:1">
      <c r="A67" s="14"/>
    </row>
    <row r="68" spans="1:1">
      <c r="A68" s="14"/>
    </row>
    <row r="69" spans="1:1">
      <c r="A69" s="14"/>
    </row>
    <row r="70" spans="1:1">
      <c r="A70" s="14"/>
    </row>
    <row r="71" spans="1:1">
      <c r="A71" s="14"/>
    </row>
  </sheetData>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eet3"/>
  <dimension ref="A1:J6"/>
  <sheetViews>
    <sheetView workbookViewId="0">
      <selection activeCell="F23" sqref="F23"/>
    </sheetView>
  </sheetViews>
  <sheetFormatPr defaultRowHeight="13.5"/>
  <cols>
    <col min="1" max="1" width="5.75" customWidth="1"/>
    <col min="2" max="3" width="7.625" customWidth="1"/>
    <col min="4" max="4" width="7.625" style="15" customWidth="1"/>
    <col min="5" max="5" width="8.5" style="15" customWidth="1"/>
    <col min="6" max="6" width="7" style="15" customWidth="1"/>
    <col min="8" max="8" width="6.125" customWidth="1"/>
    <col min="14" max="14" width="5" customWidth="1"/>
  </cols>
  <sheetData>
    <row r="1" spans="1:10">
      <c r="A1" s="15">
        <v>3</v>
      </c>
      <c r="B1" s="15" t="s">
        <v>89</v>
      </c>
      <c r="C1" s="15"/>
      <c r="G1" s="15"/>
      <c r="H1" s="15"/>
      <c r="J1" s="15"/>
    </row>
    <row r="2" spans="1:10" s="15" customFormat="1">
      <c r="B2" s="15" t="s">
        <v>91</v>
      </c>
      <c r="C2" s="15" t="s">
        <v>92</v>
      </c>
      <c r="D2" s="15" t="s">
        <v>93</v>
      </c>
    </row>
    <row r="3" spans="1:10">
      <c r="A3" s="15" t="s">
        <v>87</v>
      </c>
      <c r="B3" s="14">
        <v>40071</v>
      </c>
      <c r="C3" s="14">
        <v>40084</v>
      </c>
      <c r="D3" s="25">
        <f>C3-B3</f>
        <v>13</v>
      </c>
      <c r="E3" s="15" t="s">
        <v>90</v>
      </c>
      <c r="F3" s="26">
        <v>100</v>
      </c>
      <c r="G3" s="15"/>
      <c r="J3" s="14"/>
    </row>
    <row r="4" spans="1:10">
      <c r="A4" s="15" t="s">
        <v>88</v>
      </c>
      <c r="B4" s="14">
        <v>40073</v>
      </c>
      <c r="C4" s="14">
        <v>40089</v>
      </c>
      <c r="D4" s="25">
        <f>C4-B4</f>
        <v>16</v>
      </c>
      <c r="E4" s="15" t="s">
        <v>86</v>
      </c>
      <c r="F4" s="26">
        <v>140</v>
      </c>
      <c r="J4" s="25"/>
    </row>
    <row r="5" spans="1:10">
      <c r="A5" s="15" t="s">
        <v>94</v>
      </c>
      <c r="C5" s="25">
        <f>C4-C3</f>
        <v>5</v>
      </c>
      <c r="D5" s="25">
        <f>D4-D3</f>
        <v>3</v>
      </c>
      <c r="F5" s="26">
        <f>F4-F3</f>
        <v>40</v>
      </c>
    </row>
    <row r="6" spans="1:10" s="15" customFormat="1">
      <c r="A6" s="27" t="s">
        <v>95</v>
      </c>
      <c r="B6" s="27"/>
      <c r="C6" s="27"/>
      <c r="D6" s="27"/>
      <c r="E6" s="27"/>
      <c r="F6" s="27"/>
    </row>
  </sheetData>
  <mergeCells count="1">
    <mergeCell ref="A6:F6"/>
  </mergeCells>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Setting</vt:lpstr>
      <vt:lpstr>Report</vt:lpstr>
      <vt:lpstr>Test1</vt:lpstr>
      <vt:lpstr>Test2</vt:lpstr>
      <vt:lpstr>BD_data</vt:lpstr>
      <vt:lpstr>Burndown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cp:lastModifiedBy>
  <cp:lastPrinted>2009-10-11T09:23:47Z</cp:lastPrinted>
  <dcterms:created xsi:type="dcterms:W3CDTF">2009-05-25T12:55:37Z</dcterms:created>
  <dcterms:modified xsi:type="dcterms:W3CDTF">2010-02-13T12:02:08Z</dcterms:modified>
</cp:coreProperties>
</file>